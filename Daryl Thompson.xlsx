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Modelling" sheetId="1" r:id="rId4"/>
    <sheet state="visible" name="Data Manipulation" sheetId="2" r:id="rId5"/>
  </sheets>
  <definedNames/>
  <calcPr/>
  <extLst>
    <ext uri="GoogleSheetsCustomDataVersion2">
      <go:sheetsCustomData xmlns:go="http://customooxmlschemas.google.com/" r:id="rId6" roundtripDataChecksum="csDJSD6WAqFHXn6R8WkTZujECyF6rEFP9jEYBH7ePy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5">
      <text>
        <t xml:space="preserve">======
ID#AAABaPxmG4Q
Cooper, Richard    (2024-12-16 18:07:19)
This is a single figure for the time period being considered.</t>
      </text>
    </comment>
  </commentList>
  <extLst>
    <ext uri="GoogleSheetsCustomDataVersion2">
      <go:sheetsCustomData xmlns:go="http://customooxmlschemas.google.com/" r:id="rId1" roundtripDataSignature="AMtx7mgchrYDkbGV7X/O4LwXXBY+/WMDlg=="/>
    </ext>
  </extLst>
</comments>
</file>

<file path=xl/sharedStrings.xml><?xml version="1.0" encoding="utf-8"?>
<sst xmlns="http://schemas.openxmlformats.org/spreadsheetml/2006/main" count="109" uniqueCount="66">
  <si>
    <t>Company X</t>
  </si>
  <si>
    <t>@dropdown</t>
  </si>
  <si>
    <t>years</t>
  </si>
  <si>
    <t>Monthly subscription price (€)</t>
  </si>
  <si>
    <t>Number of subscribers at year end (000s)</t>
  </si>
  <si>
    <t>Please Calculate:</t>
  </si>
  <si>
    <t>Number of additional subscribers by year (000s)</t>
  </si>
  <si>
    <t>(Current Year - Previous Year)</t>
  </si>
  <si>
    <t xml:space="preserve">VAT Calculations </t>
  </si>
  <si>
    <t xml:space="preserve">Total number of subscribers </t>
  </si>
  <si>
    <t xml:space="preserve">Total Revenues (excluding VAT) per year </t>
  </si>
  <si>
    <t>(Number of Subscribers - Vat)</t>
  </si>
  <si>
    <t>Average revenue per subscriber per year</t>
  </si>
  <si>
    <r>
      <rPr>
        <rFont val="Verdana"/>
        <color theme="1"/>
        <sz val="8.0"/>
      </rPr>
      <t xml:space="preserve">(Total revenue </t>
    </r>
    <r>
      <rPr>
        <rFont val="Ebrima"/>
        <color theme="1"/>
        <sz val="8.0"/>
      </rPr>
      <t xml:space="preserve"> / Monthly Subscription)</t>
    </r>
  </si>
  <si>
    <t>CAGR (Compound annual growth rate) (1999-2003) for revenues</t>
  </si>
  <si>
    <t>(Ending Value/Beinging)^1/number of year -1</t>
  </si>
  <si>
    <t>Notes:</t>
  </si>
  <si>
    <t>Company X launched services 1st January 1999</t>
  </si>
  <si>
    <t>Prices include 16% VAT</t>
  </si>
  <si>
    <t>Prices are constant throughout any given year.</t>
  </si>
  <si>
    <r>
      <rPr>
        <rFont val="Arial"/>
        <color rgb="FF000000"/>
        <sz val="10.0"/>
      </rPr>
      <t>Please calculate the missing information in the spreadsheet provided and include all workings/formulae in the spreadsheet.</t>
    </r>
    <r>
      <rPr>
        <rFont val="Times New Roman"/>
        <color rgb="FF000000"/>
        <sz val="12.0"/>
      </rPr>
      <t xml:space="preserve"> </t>
    </r>
  </si>
  <si>
    <t>Country</t>
  </si>
  <si>
    <t>Region</t>
  </si>
  <si>
    <t>Argentina</t>
  </si>
  <si>
    <t>LATAM</t>
  </si>
  <si>
    <t>Australia</t>
  </si>
  <si>
    <t>APAC</t>
  </si>
  <si>
    <t>Austria</t>
  </si>
  <si>
    <t>Europe</t>
  </si>
  <si>
    <t>Belgium</t>
  </si>
  <si>
    <t>MENA</t>
  </si>
  <si>
    <t>Brazil</t>
  </si>
  <si>
    <t>Canada</t>
  </si>
  <si>
    <t>NA</t>
  </si>
  <si>
    <t>China</t>
  </si>
  <si>
    <t>Croatia</t>
  </si>
  <si>
    <t>Czech Republic</t>
  </si>
  <si>
    <t>Denmark</t>
  </si>
  <si>
    <t>Finland</t>
  </si>
  <si>
    <t>Sweden</t>
  </si>
  <si>
    <t>France</t>
  </si>
  <si>
    <t>Norway</t>
  </si>
  <si>
    <t>Germany</t>
  </si>
  <si>
    <t>Greece</t>
  </si>
  <si>
    <t>Hong Kong</t>
  </si>
  <si>
    <t>Hungary</t>
  </si>
  <si>
    <t>Iceland</t>
  </si>
  <si>
    <t>India</t>
  </si>
  <si>
    <t>Ireland</t>
  </si>
  <si>
    <t>Italy</t>
  </si>
  <si>
    <t>Japan</t>
  </si>
  <si>
    <t>Malaysia</t>
  </si>
  <si>
    <t>Mexico</t>
  </si>
  <si>
    <t>Netherlands</t>
  </si>
  <si>
    <t>New Zealand</t>
  </si>
  <si>
    <t>Poland</t>
  </si>
  <si>
    <t>Portugal</t>
  </si>
  <si>
    <t>Russia</t>
  </si>
  <si>
    <t>Singapore</t>
  </si>
  <si>
    <t>South Africa</t>
  </si>
  <si>
    <t>South Korea</t>
  </si>
  <si>
    <t>Spain</t>
  </si>
  <si>
    <t>Switzerland</t>
  </si>
  <si>
    <t>Taiwan</t>
  </si>
  <si>
    <t>UK</t>
  </si>
  <si>
    <t>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</si>
</sst>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6">
    <font>
      <sz val="8.0"/>
      <color rgb="FF000000"/>
      <name val="Verdana"/>
      <scheme val="minor"/>
    </font>
    <font>
      <b/>
      <sz val="8.0"/>
      <color theme="1"/>
      <name val="Verdana"/>
    </font>
    <font>
      <sz val="8.0"/>
      <color theme="1"/>
      <name val="Verdana"/>
    </font>
    <font>
      <sz val="10.0"/>
      <color rgb="FF000000"/>
      <name val="Arial"/>
    </font>
    <font>
      <sz val="11.0"/>
      <color theme="1"/>
      <name val="Calibri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</fills>
  <borders count="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2" numFmtId="0" xfId="0" applyAlignment="1" applyBorder="1" applyFont="1">
      <alignment readingOrder="0"/>
    </xf>
    <xf borderId="2" fillId="3" fontId="1" numFmtId="0" xfId="0" applyBorder="1" applyFill="1" applyFont="1"/>
    <xf borderId="2" fillId="2" fontId="2" numFmtId="0" xfId="0" applyBorder="1" applyFont="1"/>
    <xf borderId="2" fillId="2" fontId="1" numFmtId="0" xfId="0" applyBorder="1" applyFont="1"/>
    <xf borderId="2" fillId="2" fontId="1" numFmtId="9" xfId="0" applyBorder="1" applyFont="1" applyNumberFormat="1"/>
    <xf borderId="3" fillId="2" fontId="1" numFmtId="3" xfId="0" applyBorder="1" applyFont="1" applyNumberFormat="1"/>
    <xf borderId="3" fillId="2" fontId="1" numFmtId="0" xfId="0" applyBorder="1" applyFont="1"/>
    <xf borderId="3" fillId="2" fontId="1" numFmtId="164" xfId="0" applyBorder="1" applyFont="1" applyNumberFormat="1"/>
    <xf borderId="3" fillId="2" fontId="2" numFmtId="3" xfId="0" applyBorder="1" applyFont="1" applyNumberFormat="1"/>
    <xf borderId="3" fillId="2" fontId="2" numFmtId="0" xfId="0" applyBorder="1" applyFont="1"/>
    <xf borderId="3" fillId="2" fontId="1" numFmtId="2" xfId="0" applyBorder="1" applyFont="1" applyNumberFormat="1"/>
    <xf borderId="4" fillId="2" fontId="2" numFmtId="0" xfId="0" applyBorder="1" applyFont="1"/>
    <xf borderId="5" fillId="2" fontId="2" numFmtId="9" xfId="0" applyBorder="1" applyFont="1" applyNumberFormat="1"/>
    <xf borderId="1" fillId="4" fontId="3" numFmtId="0" xfId="0" applyAlignment="1" applyBorder="1" applyFill="1" applyFont="1">
      <alignment vertical="center"/>
    </xf>
    <xf borderId="2" fillId="3" fontId="4" numFmtId="0" xfId="0" applyBorder="1" applyFont="1"/>
    <xf borderId="2" fillId="3" fontId="2" numFmtId="0" xfId="0" applyBorder="1" applyFont="1"/>
    <xf borderId="2" fillId="0" fontId="5" numFmtId="0" xfId="0" applyBorder="1" applyFont="1"/>
    <xf borderId="2" fillId="2" fontId="4" numFmtId="0" xfId="0" applyAlignment="1" applyBorder="1" applyFont="1">
      <alignment horizontal="left"/>
    </xf>
    <xf borderId="2" fillId="2" fontId="4" numFmtId="2" xfId="0" applyBorder="1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v>2010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'Data Manipulation'!$I$10:$I$13</c:f>
            </c:strRef>
          </c:cat>
          <c:val>
            <c:numRef>
              <c:f>'Data Manipulation'!$J$10:$J$13</c:f>
              <c:numCache/>
            </c:numRef>
          </c:val>
        </c:ser>
        <c:ser>
          <c:idx val="1"/>
          <c:order val="1"/>
          <c:tx>
            <c:v>2011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'Data Manipulation'!$I$10:$I$13</c:f>
            </c:strRef>
          </c:cat>
          <c:val>
            <c:numRef>
              <c:f>'Data Manipulation'!$K$10:$K$13</c:f>
              <c:numCache/>
            </c:numRef>
          </c:val>
        </c:ser>
        <c:ser>
          <c:idx val="2"/>
          <c:order val="2"/>
          <c:tx>
            <c:v>2012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'Data Manipulation'!$I$10:$I$13</c:f>
            </c:strRef>
          </c:cat>
          <c:val>
            <c:numRef>
              <c:f>'Data Manipulation'!$L$10:$L$13</c:f>
              <c:numCache/>
            </c:numRef>
          </c:val>
        </c:ser>
        <c:ser>
          <c:idx val="3"/>
          <c:order val="3"/>
          <c:tx>
            <c:v>2013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'Data Manipulation'!$I$10:$I$13</c:f>
            </c:strRef>
          </c:cat>
          <c:val>
            <c:numRef>
              <c:f>'Data Manipulation'!$M$10:$M$13</c:f>
              <c:numCache/>
            </c:numRef>
          </c:val>
        </c:ser>
        <c:ser>
          <c:idx val="4"/>
          <c:order val="4"/>
          <c:tx>
            <c:v>2014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'Data Manipulation'!$I$10:$I$13</c:f>
            </c:strRef>
          </c:cat>
          <c:val>
            <c:numRef>
              <c:f>'Data Manipulation'!$N$10:$N$13</c:f>
              <c:numCache/>
            </c:numRef>
          </c:val>
        </c:ser>
        <c:overlap val="100"/>
        <c:axId val="352583597"/>
        <c:axId val="1660596099"/>
      </c:barChart>
      <c:catAx>
        <c:axId val="3525835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660596099"/>
      </c:catAx>
      <c:valAx>
        <c:axId val="16605960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35258359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342900</xdr:colOff>
      <xdr:row>16</xdr:row>
      <xdr:rowOff>133350</xdr:rowOff>
    </xdr:from>
    <xdr:ext cx="38100" cy="171450"/>
    <xdr:sp>
      <xdr:nvSpPr>
        <xdr:cNvPr id="3" name="Shape 3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342900</xdr:colOff>
      <xdr:row>16</xdr:row>
      <xdr:rowOff>133350</xdr:rowOff>
    </xdr:from>
    <xdr:ext cx="38100" cy="171450"/>
    <xdr:sp>
      <xdr:nvSpPr>
        <xdr:cNvPr id="3" name="Shape 3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18</xdr:row>
      <xdr:rowOff>47625</xdr:rowOff>
    </xdr:from>
    <xdr:ext cx="4581525" cy="1943100"/>
    <xdr:graphicFrame>
      <xdr:nvGraphicFramePr>
        <xdr:cNvPr id="95210866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6.29"/>
    <col customWidth="1" min="2" max="6" width="11.29"/>
    <col customWidth="1" min="7" max="26" width="9.14"/>
  </cols>
  <sheetData>
    <row r="1" ht="10.5" customHeight="1">
      <c r="A1" s="1" t="s">
        <v>0</v>
      </c>
      <c r="B1" s="2"/>
      <c r="C1" s="2"/>
      <c r="D1" s="2"/>
      <c r="E1" s="2"/>
      <c r="F1" s="2"/>
      <c r="G1" s="3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0.5" customHeight="1">
      <c r="A2" s="2"/>
      <c r="B2" s="4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0.5" customHeight="1">
      <c r="A3" s="4"/>
      <c r="B3" s="4">
        <v>1999.0</v>
      </c>
      <c r="C3" s="4">
        <v>2000.0</v>
      </c>
      <c r="D3" s="4">
        <v>2001.0</v>
      </c>
      <c r="E3" s="4">
        <v>2002.0</v>
      </c>
      <c r="F3" s="4">
        <v>2003.0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0.5" customHeight="1">
      <c r="A4" s="5" t="s">
        <v>3</v>
      </c>
      <c r="B4" s="5">
        <v>10.0</v>
      </c>
      <c r="C4" s="5">
        <v>11.0</v>
      </c>
      <c r="D4" s="5">
        <v>12.0</v>
      </c>
      <c r="E4" s="5">
        <v>12.0</v>
      </c>
      <c r="F4" s="5">
        <v>13.0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0.5" customHeight="1">
      <c r="A5" s="5"/>
      <c r="B5" s="5"/>
      <c r="C5" s="5"/>
      <c r="D5" s="5"/>
      <c r="E5" s="5"/>
      <c r="F5" s="5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0.5" customHeight="1">
      <c r="A6" s="5" t="s">
        <v>4</v>
      </c>
      <c r="B6" s="5">
        <v>1000.0</v>
      </c>
      <c r="C6" s="5">
        <v>1500.0</v>
      </c>
      <c r="D6" s="5">
        <v>2000.0</v>
      </c>
      <c r="E6" s="5">
        <v>3000.0</v>
      </c>
      <c r="F6" s="5">
        <v>5000.0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0.5" customHeight="1">
      <c r="A7" s="5"/>
      <c r="B7" s="5"/>
      <c r="C7" s="5"/>
      <c r="D7" s="5"/>
      <c r="E7" s="5"/>
      <c r="F7" s="5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0.5" customHeight="1">
      <c r="A8" s="6" t="s">
        <v>5</v>
      </c>
      <c r="B8" s="5"/>
      <c r="C8" s="5"/>
      <c r="D8" s="5"/>
      <c r="E8" s="5"/>
      <c r="F8" s="5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0.5" customHeight="1">
      <c r="A9" s="5" t="s">
        <v>6</v>
      </c>
      <c r="B9" s="6"/>
      <c r="C9" s="6">
        <f t="shared" ref="C9:F9" si="1">SUM(C6-B6)</f>
        <v>500</v>
      </c>
      <c r="D9" s="6">
        <f t="shared" si="1"/>
        <v>500</v>
      </c>
      <c r="E9" s="6">
        <f t="shared" si="1"/>
        <v>1000</v>
      </c>
      <c r="F9" s="6">
        <f t="shared" si="1"/>
        <v>2000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0.5" customHeight="1">
      <c r="A10" s="5" t="s">
        <v>7</v>
      </c>
      <c r="B10" s="6"/>
      <c r="C10" s="6"/>
      <c r="D10" s="6"/>
      <c r="E10" s="6"/>
      <c r="F10" s="6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0.5" customHeight="1">
      <c r="A11" s="5"/>
      <c r="B11" s="6"/>
      <c r="C11" s="6"/>
      <c r="D11" s="6"/>
      <c r="E11" s="6"/>
      <c r="F11" s="6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0.5" customHeight="1">
      <c r="A12" s="6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0.5" customHeight="1">
      <c r="A13" s="7">
        <v>0.16</v>
      </c>
      <c r="B13" s="8">
        <f>SUM(A13*B4)</f>
        <v>1.6</v>
      </c>
      <c r="C13" s="9">
        <f>SUM(A13*C4)</f>
        <v>1.76</v>
      </c>
      <c r="D13" s="9">
        <f>SUM(A13*D4)</f>
        <v>1.92</v>
      </c>
      <c r="E13" s="9">
        <f>SUM(A13*E4)</f>
        <v>1.92</v>
      </c>
      <c r="F13" s="9">
        <f>SUM(A13*F4)</f>
        <v>2.08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0.5" customHeight="1">
      <c r="A14" s="7" t="s">
        <v>8</v>
      </c>
      <c r="B14" s="10">
        <f t="shared" ref="B14:F14" si="2">SUM(B13*B6)</f>
        <v>1600</v>
      </c>
      <c r="C14" s="10">
        <f t="shared" si="2"/>
        <v>2640</v>
      </c>
      <c r="D14" s="10">
        <f t="shared" si="2"/>
        <v>3840</v>
      </c>
      <c r="E14" s="10">
        <f t="shared" si="2"/>
        <v>5760</v>
      </c>
      <c r="F14" s="10">
        <f t="shared" si="2"/>
        <v>10400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0.5" customHeight="1">
      <c r="A15" s="7" t="s">
        <v>9</v>
      </c>
      <c r="B15" s="10">
        <f t="shared" ref="B15:F15" si="3">SUM(B4*B6)</f>
        <v>10000</v>
      </c>
      <c r="C15" s="10">
        <f t="shared" si="3"/>
        <v>16500</v>
      </c>
      <c r="D15" s="10">
        <f t="shared" si="3"/>
        <v>24000</v>
      </c>
      <c r="E15" s="10">
        <f t="shared" si="3"/>
        <v>36000</v>
      </c>
      <c r="F15" s="10">
        <f t="shared" si="3"/>
        <v>65000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0.5" customHeight="1">
      <c r="A16" s="7"/>
      <c r="B16" s="11"/>
      <c r="C16" s="12"/>
      <c r="D16" s="12"/>
      <c r="E16" s="12"/>
      <c r="F16" s="1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0.5" customHeight="1">
      <c r="A17" s="5" t="s">
        <v>10</v>
      </c>
      <c r="B17" s="10">
        <f t="shared" ref="B17:F17" si="4">SUM(B15-B14)</f>
        <v>8400</v>
      </c>
      <c r="C17" s="10">
        <f t="shared" si="4"/>
        <v>13860</v>
      </c>
      <c r="D17" s="10">
        <f t="shared" si="4"/>
        <v>20160</v>
      </c>
      <c r="E17" s="10">
        <f t="shared" si="4"/>
        <v>30240</v>
      </c>
      <c r="F17" s="10">
        <f t="shared" si="4"/>
        <v>54600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0.5" customHeight="1">
      <c r="A18" s="5" t="s">
        <v>11</v>
      </c>
      <c r="B18" s="11"/>
      <c r="C18" s="12"/>
      <c r="D18" s="12"/>
      <c r="E18" s="12"/>
      <c r="F18" s="1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0.5" customHeight="1">
      <c r="A19" s="5"/>
      <c r="B19" s="11"/>
      <c r="C19" s="12"/>
      <c r="D19" s="12"/>
      <c r="E19" s="12"/>
      <c r="F19" s="1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0.5" customHeight="1">
      <c r="A20" s="5"/>
      <c r="B20" s="11"/>
      <c r="C20" s="12"/>
      <c r="D20" s="12"/>
      <c r="E20" s="12"/>
      <c r="F20" s="1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0.5" customHeight="1">
      <c r="A21" s="5" t="s">
        <v>12</v>
      </c>
      <c r="B21" s="13">
        <f t="shared" ref="B21:F21" si="5">SUM(B17/B4)</f>
        <v>840</v>
      </c>
      <c r="C21" s="13">
        <f t="shared" si="5"/>
        <v>1260</v>
      </c>
      <c r="D21" s="13">
        <f t="shared" si="5"/>
        <v>1680</v>
      </c>
      <c r="E21" s="13">
        <f t="shared" si="5"/>
        <v>2520</v>
      </c>
      <c r="F21" s="13">
        <f t="shared" si="5"/>
        <v>4200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0.5" customHeight="1">
      <c r="A22" s="14" t="s">
        <v>13</v>
      </c>
      <c r="B22" s="11"/>
      <c r="C22" s="12"/>
      <c r="D22" s="12"/>
      <c r="E22" s="12"/>
      <c r="F22" s="1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0.5" customHeight="1">
      <c r="A23" s="14"/>
      <c r="B23" s="11"/>
      <c r="C23" s="12"/>
      <c r="D23" s="12"/>
      <c r="E23" s="12"/>
      <c r="F23" s="1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0.5" customHeight="1">
      <c r="A24" s="14"/>
      <c r="B24" s="11"/>
      <c r="C24" s="12"/>
      <c r="D24" s="12"/>
      <c r="E24" s="12"/>
      <c r="F24" s="1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0.5" customHeight="1">
      <c r="A25" s="14" t="s">
        <v>14</v>
      </c>
      <c r="B25" s="9">
        <f>SUM(F17/B17)^(1/5)-1</f>
        <v>0.4540611511</v>
      </c>
      <c r="C25" s="5"/>
      <c r="D25" s="5"/>
      <c r="E25" s="5"/>
      <c r="F25" s="5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0.5" customHeight="1">
      <c r="A26" s="2" t="s">
        <v>15</v>
      </c>
      <c r="B26" s="15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0.5" customHeight="1">
      <c r="A27" s="1" t="s">
        <v>16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0.5" customHeight="1">
      <c r="A28" s="2" t="s">
        <v>17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0.5" customHeight="1">
      <c r="A29" s="2" t="s">
        <v>18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0.5" customHeight="1">
      <c r="A30" s="2" t="s">
        <v>19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0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0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0.5" customHeight="1">
      <c r="A33" s="16" t="s">
        <v>20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0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0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0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0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0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0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0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0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0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0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0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0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0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0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0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0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0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0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0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0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0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0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0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0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0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0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0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0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0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0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0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0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0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0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0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0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0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0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0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0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0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0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0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0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0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0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0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0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0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0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0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0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0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0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0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0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0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0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0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0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0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0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0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0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0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0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0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0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0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0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0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0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0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0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0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0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0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0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0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0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0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0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0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0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0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0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0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0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0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0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0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0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0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0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0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0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0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0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0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0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0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0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0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0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0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0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0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0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0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0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0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0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0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0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0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0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0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0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0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0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0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0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0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0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0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0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0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0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0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0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0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0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0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0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0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0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0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0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0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0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0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0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0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0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0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0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0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0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0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0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0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0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0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0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0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0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0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0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0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0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0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0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0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0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0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0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0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0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0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0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0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0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0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0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0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0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0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0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0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0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0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0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0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0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0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0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0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0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0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0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0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0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0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0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0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0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0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0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0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0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0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0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0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0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0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0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0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0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0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0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0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0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0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0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0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0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0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0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0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0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0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0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0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0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0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0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0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0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0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0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0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0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0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0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0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0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0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0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0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0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0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0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0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0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0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0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0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0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0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0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0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0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0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0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0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0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0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0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0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0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0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0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0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0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0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0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0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0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0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0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0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0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0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0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0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0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0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0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0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0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0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0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0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0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0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0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0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0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0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0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0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0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0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0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0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0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0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0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0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0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0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0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0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0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0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0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0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0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0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0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0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0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0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0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0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0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0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0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0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0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0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0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0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0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0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0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0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0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0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0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0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0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0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0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0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0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0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0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0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0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0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0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0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0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0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0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0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0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0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0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0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0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0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0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0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0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0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0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0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0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0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0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0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0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0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0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0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0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0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0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0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0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0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0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0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0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0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0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0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0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0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0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0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0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0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0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0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0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0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0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0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0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0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0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0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0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0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0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0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0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0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0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0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0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0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0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0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0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0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0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0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0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0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0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0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0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0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0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0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0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0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0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0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0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0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0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0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0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0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0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0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0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0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0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0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0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0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0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0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0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0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0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0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0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0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0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0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0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0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0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0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0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0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0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0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0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0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0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0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0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0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0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0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0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0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0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0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0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0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0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0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0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0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0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0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0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0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0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0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0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0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0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0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0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0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0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0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0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0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0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0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0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0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0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0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0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0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0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0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0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0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0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0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0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0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0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0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0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0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0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0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0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0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0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0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0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0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0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0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0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0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0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0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0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0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0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0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0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0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0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0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0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0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0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0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0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0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0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0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0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0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0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0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0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0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0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0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0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0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0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0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0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0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0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0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0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0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0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0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0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0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0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0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0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0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0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0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0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0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0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0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0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0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0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0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0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0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0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0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0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0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0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0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0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0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0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0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0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0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0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0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0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0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0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0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0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0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0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0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0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0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0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0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0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0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0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0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0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0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0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0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0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0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0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0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0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0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0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0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0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0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0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0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0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0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0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0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0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0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0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0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0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0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0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0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0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0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0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0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0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0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0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0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0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0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0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0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0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0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0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0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0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0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0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0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0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0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0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0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0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0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0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0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0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0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0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0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0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0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0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0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0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0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0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0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0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0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0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0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0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0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0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0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0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0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0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0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0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0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0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0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0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0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0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0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0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0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0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0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0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0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0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0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0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0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0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0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0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0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0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0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0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0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0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0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0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0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0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0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0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0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0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0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0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0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0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0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0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0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0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0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0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0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0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0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0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0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0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0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0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0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0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0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0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0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0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0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0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0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0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0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0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0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0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0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0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0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0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0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0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0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0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0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0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0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0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0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0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0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0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0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0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0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0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0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0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0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0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0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0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0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0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0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0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0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0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0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0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0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0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0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0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0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0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0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0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0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0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0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0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0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0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0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0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0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0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0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0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0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0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0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0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0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0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0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0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0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0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0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0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0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0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0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0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0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0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0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0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0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0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0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0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0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0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0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0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0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0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0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0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0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0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0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0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0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0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0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0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0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0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0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0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0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0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0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0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0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0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0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0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0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0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0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0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0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0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0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0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0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0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0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0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0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0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0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0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0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0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0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0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0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0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0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0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0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0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0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0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0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0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0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0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0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0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0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0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0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0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0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0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0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0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0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0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0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0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0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0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0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0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0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0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0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0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0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0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0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0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0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0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0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0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0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0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0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0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0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0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0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0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0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0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0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0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0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0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0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0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0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0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0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0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0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0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0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0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0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0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0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0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0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0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0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0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0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0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0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0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0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0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0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0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0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0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0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0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0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1.43"/>
    <col customWidth="1" min="3" max="9" width="9.14"/>
    <col customWidth="1" min="10" max="14" width="10.86"/>
    <col customWidth="1" min="15" max="26" width="9.14"/>
  </cols>
  <sheetData>
    <row r="1" ht="10.5" customHeight="1">
      <c r="A1" s="17" t="s">
        <v>21</v>
      </c>
      <c r="B1" s="17" t="s">
        <v>22</v>
      </c>
      <c r="C1" s="17">
        <v>2010.0</v>
      </c>
      <c r="D1" s="17">
        <v>2011.0</v>
      </c>
      <c r="E1" s="17">
        <v>2012.0</v>
      </c>
      <c r="F1" s="17">
        <v>2013.0</v>
      </c>
      <c r="G1" s="17">
        <v>2014.0</v>
      </c>
      <c r="H1" s="2"/>
      <c r="I1" s="18" t="s">
        <v>22</v>
      </c>
      <c r="J1" s="17">
        <v>2010.0</v>
      </c>
      <c r="K1" s="17">
        <v>2011.0</v>
      </c>
      <c r="L1" s="17">
        <v>2012.0</v>
      </c>
      <c r="M1" s="17">
        <v>2013.0</v>
      </c>
      <c r="N1" s="17">
        <v>2014.0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0.5" customHeight="1">
      <c r="A2" s="19" t="s">
        <v>23</v>
      </c>
      <c r="B2" s="20" t="s">
        <v>24</v>
      </c>
      <c r="C2" s="21">
        <v>10.0</v>
      </c>
      <c r="D2" s="21">
        <v>4.0</v>
      </c>
      <c r="E2" s="21">
        <v>10.0</v>
      </c>
      <c r="F2" s="21">
        <v>6.0</v>
      </c>
      <c r="G2" s="21">
        <v>1.0</v>
      </c>
      <c r="H2" s="2"/>
      <c r="I2" s="21" t="s">
        <v>24</v>
      </c>
      <c r="J2" s="21">
        <f t="shared" ref="J2:N2" si="1">SUM(C2+C6+C24)</f>
        <v>20</v>
      </c>
      <c r="K2" s="21">
        <f t="shared" si="1"/>
        <v>10</v>
      </c>
      <c r="L2" s="21">
        <f t="shared" si="1"/>
        <v>26</v>
      </c>
      <c r="M2" s="21">
        <f t="shared" si="1"/>
        <v>12</v>
      </c>
      <c r="N2" s="21">
        <f t="shared" si="1"/>
        <v>12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0.5" customHeight="1">
      <c r="A3" s="19" t="s">
        <v>25</v>
      </c>
      <c r="B3" s="20" t="s">
        <v>26</v>
      </c>
      <c r="C3" s="21">
        <v>7.0</v>
      </c>
      <c r="D3" s="21">
        <v>8.0</v>
      </c>
      <c r="E3" s="21">
        <v>3.0</v>
      </c>
      <c r="F3" s="21">
        <v>2.0</v>
      </c>
      <c r="G3" s="21">
        <v>9.0</v>
      </c>
      <c r="H3" s="2"/>
      <c r="I3" s="21" t="s">
        <v>26</v>
      </c>
      <c r="J3" s="21">
        <f t="shared" ref="J3:N3" si="2">SUM(C3+C8+C16+C19+C22+C23+C26+C31+C33+C37)</f>
        <v>64</v>
      </c>
      <c r="K3" s="21">
        <f t="shared" si="2"/>
        <v>60</v>
      </c>
      <c r="L3" s="21">
        <f t="shared" si="2"/>
        <v>52</v>
      </c>
      <c r="M3" s="21">
        <f t="shared" si="2"/>
        <v>45</v>
      </c>
      <c r="N3" s="21">
        <f t="shared" si="2"/>
        <v>72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0.5" customHeight="1">
      <c r="A4" s="19" t="s">
        <v>27</v>
      </c>
      <c r="B4" s="20" t="s">
        <v>28</v>
      </c>
      <c r="C4" s="21">
        <v>10.0</v>
      </c>
      <c r="D4" s="21">
        <v>5.0</v>
      </c>
      <c r="E4" s="21">
        <v>5.0</v>
      </c>
      <c r="F4" s="21">
        <v>9.0</v>
      </c>
      <c r="G4" s="21">
        <v>6.0</v>
      </c>
      <c r="H4" s="2"/>
      <c r="I4" s="21" t="s">
        <v>28</v>
      </c>
      <c r="J4" s="21">
        <f t="shared" ref="J4:M4" si="3">SUM(C4+C5+C9+C10+C11+C12+C13+C14+C15+C17+C18+C20+C21+C25+C27+C28+C29+C30+C34+C35+C36+C38)</f>
        <v>112</v>
      </c>
      <c r="K4" s="21">
        <f t="shared" si="3"/>
        <v>127</v>
      </c>
      <c r="L4" s="21">
        <f t="shared" si="3"/>
        <v>121</v>
      </c>
      <c r="M4" s="21">
        <f t="shared" si="3"/>
        <v>103</v>
      </c>
      <c r="N4" s="21">
        <f>SUM(G4+G5+G9+G10+G11+G12+G13+G14+G15+G17+G18+G20+G21+G25+G27+G28+G29+30+G34+G35+G36+G38)</f>
        <v>138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0.5" customHeight="1">
      <c r="A5" s="19" t="s">
        <v>29</v>
      </c>
      <c r="B5" s="20" t="s">
        <v>28</v>
      </c>
      <c r="C5" s="21">
        <v>5.0</v>
      </c>
      <c r="D5" s="21">
        <v>4.0</v>
      </c>
      <c r="E5" s="21">
        <v>9.0</v>
      </c>
      <c r="F5" s="21">
        <v>2.0</v>
      </c>
      <c r="G5" s="21">
        <v>3.0</v>
      </c>
      <c r="H5" s="2"/>
      <c r="I5" s="21" t="s">
        <v>30</v>
      </c>
      <c r="J5" s="21">
        <f t="shared" ref="J5:N5" si="4">SUM(C32)</f>
        <v>4</v>
      </c>
      <c r="K5" s="21">
        <f t="shared" si="4"/>
        <v>10</v>
      </c>
      <c r="L5" s="21">
        <f t="shared" si="4"/>
        <v>5</v>
      </c>
      <c r="M5" s="21">
        <f t="shared" si="4"/>
        <v>2</v>
      </c>
      <c r="N5" s="21">
        <f t="shared" si="4"/>
        <v>4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0.5" customHeight="1">
      <c r="A6" s="19" t="s">
        <v>31</v>
      </c>
      <c r="B6" s="20" t="s">
        <v>24</v>
      </c>
      <c r="C6" s="21">
        <v>5.0</v>
      </c>
      <c r="D6" s="21">
        <v>2.0</v>
      </c>
      <c r="E6" s="21">
        <v>7.0</v>
      </c>
      <c r="F6" s="21">
        <v>4.0</v>
      </c>
      <c r="G6" s="21">
        <v>8.0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0.5" customHeight="1">
      <c r="A7" s="19" t="s">
        <v>32</v>
      </c>
      <c r="B7" s="20" t="s">
        <v>33</v>
      </c>
      <c r="C7" s="21">
        <v>6.0</v>
      </c>
      <c r="D7" s="21">
        <v>5.0</v>
      </c>
      <c r="E7" s="21">
        <v>4.0</v>
      </c>
      <c r="F7" s="21">
        <v>3.0</v>
      </c>
      <c r="G7" s="21">
        <v>10.0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0.5" customHeight="1">
      <c r="A8" s="19" t="s">
        <v>34</v>
      </c>
      <c r="B8" s="20" t="s">
        <v>26</v>
      </c>
      <c r="C8" s="21">
        <v>6.0</v>
      </c>
      <c r="D8" s="21">
        <v>5.0</v>
      </c>
      <c r="E8" s="21">
        <v>10.0</v>
      </c>
      <c r="F8" s="21">
        <v>3.0</v>
      </c>
      <c r="G8" s="21">
        <v>6.0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0.5" customHeight="1">
      <c r="A9" s="19" t="s">
        <v>35</v>
      </c>
      <c r="B9" s="20" t="s">
        <v>28</v>
      </c>
      <c r="C9" s="21">
        <v>4.0</v>
      </c>
      <c r="D9" s="21">
        <v>10.0</v>
      </c>
      <c r="E9" s="21">
        <v>3.0</v>
      </c>
      <c r="F9" s="21">
        <v>4.0</v>
      </c>
      <c r="G9" s="21">
        <v>3.0</v>
      </c>
      <c r="H9" s="2"/>
      <c r="I9" s="18" t="s">
        <v>21</v>
      </c>
      <c r="J9" s="17">
        <v>2010.0</v>
      </c>
      <c r="K9" s="17">
        <v>2011.0</v>
      </c>
      <c r="L9" s="17">
        <v>2012.0</v>
      </c>
      <c r="M9" s="17">
        <v>2013.0</v>
      </c>
      <c r="N9" s="17">
        <v>2014.0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0.5" customHeight="1">
      <c r="A10" s="19" t="s">
        <v>36</v>
      </c>
      <c r="B10" s="20" t="s">
        <v>28</v>
      </c>
      <c r="C10" s="21">
        <v>2.0</v>
      </c>
      <c r="D10" s="21">
        <v>4.0</v>
      </c>
      <c r="E10" s="21">
        <v>5.0</v>
      </c>
      <c r="F10" s="21">
        <v>1.0</v>
      </c>
      <c r="G10" s="21">
        <v>7.0</v>
      </c>
      <c r="H10" s="2"/>
      <c r="I10" s="21" t="s">
        <v>37</v>
      </c>
      <c r="J10" s="21">
        <f t="shared" ref="J10:N10" si="5">SUM(C11)</f>
        <v>3</v>
      </c>
      <c r="K10" s="21">
        <f t="shared" si="5"/>
        <v>8</v>
      </c>
      <c r="L10" s="21">
        <f t="shared" si="5"/>
        <v>8</v>
      </c>
      <c r="M10" s="21">
        <f t="shared" si="5"/>
        <v>1</v>
      </c>
      <c r="N10" s="21">
        <f t="shared" si="5"/>
        <v>3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0.5" customHeight="1">
      <c r="A11" s="19" t="s">
        <v>37</v>
      </c>
      <c r="B11" s="20" t="s">
        <v>28</v>
      </c>
      <c r="C11" s="21">
        <v>3.0</v>
      </c>
      <c r="D11" s="21">
        <v>8.0</v>
      </c>
      <c r="E11" s="21">
        <v>8.0</v>
      </c>
      <c r="F11" s="21">
        <v>1.0</v>
      </c>
      <c r="G11" s="21">
        <v>3.0</v>
      </c>
      <c r="H11" s="2"/>
      <c r="I11" s="21" t="s">
        <v>38</v>
      </c>
      <c r="J11" s="21">
        <f t="shared" ref="J11:N11" si="6">SUM(C12)</f>
        <v>2</v>
      </c>
      <c r="K11" s="21">
        <f t="shared" si="6"/>
        <v>10</v>
      </c>
      <c r="L11" s="21">
        <f t="shared" si="6"/>
        <v>4</v>
      </c>
      <c r="M11" s="21">
        <f t="shared" si="6"/>
        <v>8</v>
      </c>
      <c r="N11" s="21">
        <f t="shared" si="6"/>
        <v>8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0.5" customHeight="1">
      <c r="A12" s="19" t="s">
        <v>38</v>
      </c>
      <c r="B12" s="20" t="s">
        <v>28</v>
      </c>
      <c r="C12" s="21">
        <v>2.0</v>
      </c>
      <c r="D12" s="21">
        <v>10.0</v>
      </c>
      <c r="E12" s="21">
        <v>4.0</v>
      </c>
      <c r="F12" s="21">
        <v>8.0</v>
      </c>
      <c r="G12" s="21">
        <v>8.0</v>
      </c>
      <c r="H12" s="2"/>
      <c r="I12" s="21" t="s">
        <v>39</v>
      </c>
      <c r="J12" s="21">
        <f t="shared" ref="J12:N12" si="7">SUM(C35)</f>
        <v>4</v>
      </c>
      <c r="K12" s="21">
        <f t="shared" si="7"/>
        <v>1</v>
      </c>
      <c r="L12" s="21">
        <f t="shared" si="7"/>
        <v>2</v>
      </c>
      <c r="M12" s="21">
        <f t="shared" si="7"/>
        <v>1</v>
      </c>
      <c r="N12" s="21">
        <f t="shared" si="7"/>
        <v>9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0.5" customHeight="1">
      <c r="A13" s="19" t="s">
        <v>40</v>
      </c>
      <c r="B13" s="20" t="s">
        <v>28</v>
      </c>
      <c r="C13" s="21">
        <v>4.0</v>
      </c>
      <c r="D13" s="21">
        <v>10.0</v>
      </c>
      <c r="E13" s="21">
        <v>5.0</v>
      </c>
      <c r="F13" s="21">
        <v>2.0</v>
      </c>
      <c r="G13" s="21">
        <v>4.0</v>
      </c>
      <c r="H13" s="2"/>
      <c r="I13" s="21" t="s">
        <v>41</v>
      </c>
      <c r="J13" s="21">
        <f t="shared" ref="J13:N13" si="8">SUM(C27)</f>
        <v>6</v>
      </c>
      <c r="K13" s="21">
        <f t="shared" si="8"/>
        <v>5</v>
      </c>
      <c r="L13" s="21">
        <f t="shared" si="8"/>
        <v>10</v>
      </c>
      <c r="M13" s="21">
        <f t="shared" si="8"/>
        <v>3</v>
      </c>
      <c r="N13" s="21">
        <f t="shared" si="8"/>
        <v>6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0.5" customHeight="1">
      <c r="A14" s="19" t="s">
        <v>42</v>
      </c>
      <c r="B14" s="20" t="s">
        <v>28</v>
      </c>
      <c r="C14" s="21">
        <v>10.0</v>
      </c>
      <c r="D14" s="21">
        <v>2.0</v>
      </c>
      <c r="E14" s="21">
        <v>4.0</v>
      </c>
      <c r="F14" s="21">
        <v>3.0</v>
      </c>
      <c r="G14" s="21">
        <v>6.0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0.5" customHeight="1">
      <c r="A15" s="19" t="s">
        <v>43</v>
      </c>
      <c r="B15" s="20" t="s">
        <v>28</v>
      </c>
      <c r="C15" s="21">
        <v>6.0</v>
      </c>
      <c r="D15" s="21">
        <v>6.0</v>
      </c>
      <c r="E15" s="21">
        <v>3.0</v>
      </c>
      <c r="F15" s="21">
        <v>8.0</v>
      </c>
      <c r="G15" s="21">
        <v>9.0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0.5" customHeight="1">
      <c r="A16" s="19" t="s">
        <v>44</v>
      </c>
      <c r="B16" s="20" t="s">
        <v>26</v>
      </c>
      <c r="C16" s="21">
        <v>4.0</v>
      </c>
      <c r="D16" s="21">
        <v>1.0</v>
      </c>
      <c r="E16" s="21">
        <v>2.0</v>
      </c>
      <c r="F16" s="21">
        <v>1.0</v>
      </c>
      <c r="G16" s="21">
        <v>9.0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0.5" customHeight="1">
      <c r="A17" s="19" t="s">
        <v>45</v>
      </c>
      <c r="B17" s="20" t="s">
        <v>28</v>
      </c>
      <c r="C17" s="21">
        <v>5.0</v>
      </c>
      <c r="D17" s="21">
        <v>4.0</v>
      </c>
      <c r="E17" s="21">
        <v>2.0</v>
      </c>
      <c r="F17" s="21">
        <v>9.0</v>
      </c>
      <c r="G17" s="21">
        <v>2.0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0.5" customHeight="1">
      <c r="A18" s="19" t="s">
        <v>46</v>
      </c>
      <c r="B18" s="20" t="s">
        <v>28</v>
      </c>
      <c r="C18" s="21">
        <v>10.0</v>
      </c>
      <c r="D18" s="21">
        <v>10.0</v>
      </c>
      <c r="E18" s="21">
        <v>8.0</v>
      </c>
      <c r="F18" s="21">
        <v>5.0</v>
      </c>
      <c r="G18" s="21">
        <v>8.0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0.5" customHeight="1">
      <c r="A19" s="19" t="s">
        <v>47</v>
      </c>
      <c r="B19" s="20" t="s">
        <v>26</v>
      </c>
      <c r="C19" s="21">
        <v>2.0</v>
      </c>
      <c r="D19" s="21">
        <v>6.0</v>
      </c>
      <c r="E19" s="21">
        <v>9.0</v>
      </c>
      <c r="F19" s="21">
        <v>9.0</v>
      </c>
      <c r="G19" s="21">
        <v>1.0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0.5" customHeight="1">
      <c r="A20" s="19" t="s">
        <v>48</v>
      </c>
      <c r="B20" s="20" t="s">
        <v>28</v>
      </c>
      <c r="C20" s="21">
        <v>4.0</v>
      </c>
      <c r="D20" s="21">
        <v>4.0</v>
      </c>
      <c r="E20" s="21">
        <v>6.0</v>
      </c>
      <c r="F20" s="21">
        <v>5.0</v>
      </c>
      <c r="G20" s="21">
        <v>3.0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0.5" customHeight="1">
      <c r="A21" s="19" t="s">
        <v>49</v>
      </c>
      <c r="B21" s="20" t="s">
        <v>28</v>
      </c>
      <c r="C21" s="21">
        <v>10.0</v>
      </c>
      <c r="D21" s="21">
        <v>4.0</v>
      </c>
      <c r="E21" s="21">
        <v>10.0</v>
      </c>
      <c r="F21" s="21">
        <v>6.0</v>
      </c>
      <c r="G21" s="21">
        <v>1.0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0.5" customHeight="1">
      <c r="A22" s="19" t="s">
        <v>50</v>
      </c>
      <c r="B22" s="20" t="s">
        <v>26</v>
      </c>
      <c r="C22" s="21">
        <v>7.0</v>
      </c>
      <c r="D22" s="21">
        <v>8.0</v>
      </c>
      <c r="E22" s="21">
        <v>3.0</v>
      </c>
      <c r="F22" s="21">
        <v>2.0</v>
      </c>
      <c r="G22" s="21">
        <v>9.0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0.5" customHeight="1">
      <c r="A23" s="19" t="s">
        <v>51</v>
      </c>
      <c r="B23" s="20" t="s">
        <v>26</v>
      </c>
      <c r="C23" s="21">
        <v>10.0</v>
      </c>
      <c r="D23" s="21">
        <v>5.0</v>
      </c>
      <c r="E23" s="21">
        <v>5.0</v>
      </c>
      <c r="F23" s="21">
        <v>9.0</v>
      </c>
      <c r="G23" s="21">
        <v>6.0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0.5" customHeight="1">
      <c r="A24" s="19" t="s">
        <v>52</v>
      </c>
      <c r="B24" s="20" t="s">
        <v>24</v>
      </c>
      <c r="C24" s="21">
        <v>5.0</v>
      </c>
      <c r="D24" s="21">
        <v>4.0</v>
      </c>
      <c r="E24" s="21">
        <v>9.0</v>
      </c>
      <c r="F24" s="21">
        <v>2.0</v>
      </c>
      <c r="G24" s="21">
        <v>3.0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0.5" customHeight="1">
      <c r="A25" s="19" t="s">
        <v>53</v>
      </c>
      <c r="B25" s="20" t="s">
        <v>28</v>
      </c>
      <c r="C25" s="21">
        <v>5.0</v>
      </c>
      <c r="D25" s="21">
        <v>2.0</v>
      </c>
      <c r="E25" s="21">
        <v>7.0</v>
      </c>
      <c r="F25" s="21">
        <v>4.0</v>
      </c>
      <c r="G25" s="21">
        <v>8.0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0.5" customHeight="1">
      <c r="A26" s="19" t="s">
        <v>54</v>
      </c>
      <c r="B26" s="20" t="s">
        <v>26</v>
      </c>
      <c r="C26" s="21">
        <v>6.0</v>
      </c>
      <c r="D26" s="21">
        <v>5.0</v>
      </c>
      <c r="E26" s="21">
        <v>4.0</v>
      </c>
      <c r="F26" s="21">
        <v>3.0</v>
      </c>
      <c r="G26" s="21">
        <v>10.0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0.5" customHeight="1">
      <c r="A27" s="19" t="s">
        <v>41</v>
      </c>
      <c r="B27" s="20" t="s">
        <v>28</v>
      </c>
      <c r="C27" s="21">
        <v>6.0</v>
      </c>
      <c r="D27" s="21">
        <v>5.0</v>
      </c>
      <c r="E27" s="21">
        <v>10.0</v>
      </c>
      <c r="F27" s="21">
        <v>3.0</v>
      </c>
      <c r="G27" s="21">
        <v>6.0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0.5" customHeight="1">
      <c r="A28" s="19" t="s">
        <v>55</v>
      </c>
      <c r="B28" s="20" t="s">
        <v>28</v>
      </c>
      <c r="C28" s="21">
        <v>4.0</v>
      </c>
      <c r="D28" s="21">
        <v>10.0</v>
      </c>
      <c r="E28" s="21">
        <v>3.0</v>
      </c>
      <c r="F28" s="21">
        <v>4.0</v>
      </c>
      <c r="G28" s="21">
        <v>3.0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0.5" customHeight="1">
      <c r="A29" s="19" t="s">
        <v>56</v>
      </c>
      <c r="B29" s="20" t="s">
        <v>28</v>
      </c>
      <c r="C29" s="21">
        <v>2.0</v>
      </c>
      <c r="D29" s="21">
        <v>4.0</v>
      </c>
      <c r="E29" s="21">
        <v>5.0</v>
      </c>
      <c r="F29" s="21">
        <v>1.0</v>
      </c>
      <c r="G29" s="21">
        <v>7.0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0.5" customHeight="1">
      <c r="A30" s="19" t="s">
        <v>57</v>
      </c>
      <c r="B30" s="20" t="s">
        <v>28</v>
      </c>
      <c r="C30" s="21">
        <v>3.0</v>
      </c>
      <c r="D30" s="21">
        <v>8.0</v>
      </c>
      <c r="E30" s="21">
        <v>8.0</v>
      </c>
      <c r="F30" s="21">
        <v>1.0</v>
      </c>
      <c r="G30" s="21">
        <v>3.0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0.5" customHeight="1">
      <c r="A31" s="19" t="s">
        <v>58</v>
      </c>
      <c r="B31" s="20" t="s">
        <v>26</v>
      </c>
      <c r="C31" s="21">
        <v>2.0</v>
      </c>
      <c r="D31" s="21">
        <v>10.0</v>
      </c>
      <c r="E31" s="21">
        <v>4.0</v>
      </c>
      <c r="F31" s="21">
        <v>8.0</v>
      </c>
      <c r="G31" s="21">
        <v>8.0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0.5" customHeight="1">
      <c r="A32" s="19" t="s">
        <v>59</v>
      </c>
      <c r="B32" s="20" t="s">
        <v>30</v>
      </c>
      <c r="C32" s="21">
        <v>4.0</v>
      </c>
      <c r="D32" s="21">
        <v>10.0</v>
      </c>
      <c r="E32" s="21">
        <v>5.0</v>
      </c>
      <c r="F32" s="21">
        <v>2.0</v>
      </c>
      <c r="G32" s="21">
        <v>4.0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0.5" customHeight="1">
      <c r="A33" s="19" t="s">
        <v>60</v>
      </c>
      <c r="B33" s="20" t="s">
        <v>26</v>
      </c>
      <c r="C33" s="21">
        <v>10.0</v>
      </c>
      <c r="D33" s="21">
        <v>2.0</v>
      </c>
      <c r="E33" s="21">
        <v>4.0</v>
      </c>
      <c r="F33" s="21">
        <v>3.0</v>
      </c>
      <c r="G33" s="21">
        <v>6.0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0.5" customHeight="1">
      <c r="A34" s="19" t="s">
        <v>61</v>
      </c>
      <c r="B34" s="20" t="s">
        <v>28</v>
      </c>
      <c r="C34" s="21">
        <v>6.0</v>
      </c>
      <c r="D34" s="21">
        <v>6.0</v>
      </c>
      <c r="E34" s="21">
        <v>3.0</v>
      </c>
      <c r="F34" s="21">
        <v>8.0</v>
      </c>
      <c r="G34" s="21">
        <v>9.0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0.5" customHeight="1">
      <c r="A35" s="19" t="s">
        <v>39</v>
      </c>
      <c r="B35" s="20" t="s">
        <v>28</v>
      </c>
      <c r="C35" s="21">
        <v>4.0</v>
      </c>
      <c r="D35" s="21">
        <v>1.0</v>
      </c>
      <c r="E35" s="21">
        <v>2.0</v>
      </c>
      <c r="F35" s="21">
        <v>1.0</v>
      </c>
      <c r="G35" s="21">
        <v>9.0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0.5" customHeight="1">
      <c r="A36" s="19" t="s">
        <v>62</v>
      </c>
      <c r="B36" s="20" t="s">
        <v>28</v>
      </c>
      <c r="C36" s="21">
        <v>5.0</v>
      </c>
      <c r="D36" s="21">
        <v>4.0</v>
      </c>
      <c r="E36" s="21">
        <v>2.0</v>
      </c>
      <c r="F36" s="21">
        <v>9.0</v>
      </c>
      <c r="G36" s="21">
        <v>2.0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0.5" customHeight="1">
      <c r="A37" s="19" t="s">
        <v>63</v>
      </c>
      <c r="B37" s="20" t="s">
        <v>26</v>
      </c>
      <c r="C37" s="21">
        <v>10.0</v>
      </c>
      <c r="D37" s="21">
        <v>10.0</v>
      </c>
      <c r="E37" s="21">
        <v>8.0</v>
      </c>
      <c r="F37" s="21">
        <v>5.0</v>
      </c>
      <c r="G37" s="21">
        <v>8.0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0.5" customHeight="1">
      <c r="A38" s="19" t="s">
        <v>64</v>
      </c>
      <c r="B38" s="20" t="s">
        <v>28</v>
      </c>
      <c r="C38" s="21">
        <v>2.0</v>
      </c>
      <c r="D38" s="21">
        <v>6.0</v>
      </c>
      <c r="E38" s="21">
        <v>9.0</v>
      </c>
      <c r="F38" s="21">
        <v>9.0</v>
      </c>
      <c r="G38" s="21">
        <v>1.0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0.5" customHeight="1">
      <c r="A39" s="19" t="s">
        <v>65</v>
      </c>
      <c r="B39" s="20" t="s">
        <v>33</v>
      </c>
      <c r="C39" s="21">
        <v>4.0</v>
      </c>
      <c r="D39" s="21">
        <v>4.0</v>
      </c>
      <c r="E39" s="21">
        <v>6.0</v>
      </c>
      <c r="F39" s="21">
        <v>5.0</v>
      </c>
      <c r="G39" s="21">
        <v>3.0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0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0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0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0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0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0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0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0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0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0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0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0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0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0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0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0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0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0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0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0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0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0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0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0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0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0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0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0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0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0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0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0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0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0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0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0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0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0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0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0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0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0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0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0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0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0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0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0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0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0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0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0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0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0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0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0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0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0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0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0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0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0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0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0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0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0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0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0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0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0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0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0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0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0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0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0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0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0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0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0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0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0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0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0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0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0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0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0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0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0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0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0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0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0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0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0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0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0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0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0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0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0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0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0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0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0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0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0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0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0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0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0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0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0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0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0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0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0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0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0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0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0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0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0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0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0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0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0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0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0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0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0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0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0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0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0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0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0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0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0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0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0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0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0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0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0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0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0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0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0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0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0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0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0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0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0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0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0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0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0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0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0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0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0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0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0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0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0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0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0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0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0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0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0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0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0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0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0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0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0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0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0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0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0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0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0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0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0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0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0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0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0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0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0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0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0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0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0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0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0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0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0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0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0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0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0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0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0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0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0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0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0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0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0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0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0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0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0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0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0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0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0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0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0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0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0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0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0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0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0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0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0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0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0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0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0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0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0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0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0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0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0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0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0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0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0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0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0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0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0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0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0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0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0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0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0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0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0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0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0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0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0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0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0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0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0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0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0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0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0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0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0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0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0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0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0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0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0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0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0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0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0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0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0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0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0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0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0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0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0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0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0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0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0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0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0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0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0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0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0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0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0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0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0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0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0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0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0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0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0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0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0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0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0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0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0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0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0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0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0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0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0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0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0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0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0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0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0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0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0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0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0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0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0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0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0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0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0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0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0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0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0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0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0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0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0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0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0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0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0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0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0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0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0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0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0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0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0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0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0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0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0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0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0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0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0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0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0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0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0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0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0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0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0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0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0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0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0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0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0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0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0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0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0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0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0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0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0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0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0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0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0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0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0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0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0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0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0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0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0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0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0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0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0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0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0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0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0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0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0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0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0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0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0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0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0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0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0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0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0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0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0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0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0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0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0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0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0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0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0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0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0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0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0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0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0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0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0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0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0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0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0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0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0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0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0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0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0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0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0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0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0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0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0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0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0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0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0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0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0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0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0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0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0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0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0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0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0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0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0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0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0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0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0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0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0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0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0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0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0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0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0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0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0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0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0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0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0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0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0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0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0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0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0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0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0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0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0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0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0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0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0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0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0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0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0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0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0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0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0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0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0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0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0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0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0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0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0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0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0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0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0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0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0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0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0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0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0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0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0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0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0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0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0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0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0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0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0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0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0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0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0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0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0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0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0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0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0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0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0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0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0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0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0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0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0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0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0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0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0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0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0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0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0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0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0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0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0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0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0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0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0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0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0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0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0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0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0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0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0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0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0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0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0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0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0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0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0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0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0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0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0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0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0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0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0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0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0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0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0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0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0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0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0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0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0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0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0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0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0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0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0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0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0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0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0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0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0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0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0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0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0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0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0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0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0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0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0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0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0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0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0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0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0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0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0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0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0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0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0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0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0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0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0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0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0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0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0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0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0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0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0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0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0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0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0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0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0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0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0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0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0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0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0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0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0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0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0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0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0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0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0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0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0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0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0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0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0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0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0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0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0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0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0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0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0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0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0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0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0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0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0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0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0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0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0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0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0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0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0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0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0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0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0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0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0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0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0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0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0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0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0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0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0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0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0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0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0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0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0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0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0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0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0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0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0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0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0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0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0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0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0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0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0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0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0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0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0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0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0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0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0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0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0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0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0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0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0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0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0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0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0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0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0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0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0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0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0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0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0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0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0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0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0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0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0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0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0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0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0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0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0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0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0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0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0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0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0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0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0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0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0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0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0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0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0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0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0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0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0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0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0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0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0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0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0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0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0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0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0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0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0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0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0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0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0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0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0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0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0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0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0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0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0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0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0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0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0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0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0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0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0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0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0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0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0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0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0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0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0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0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0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0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0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0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0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0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0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0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0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0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0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0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0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0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0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0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0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0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0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0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0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0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0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0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0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0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0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0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0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0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0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0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0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0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0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0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0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0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0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0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0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0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0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0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0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0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0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0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0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0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0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0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0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0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0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0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0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0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0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0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0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0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0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0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0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0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0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0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0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0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0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0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0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0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0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0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0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0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0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0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0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0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0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0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0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0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0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0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0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0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0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0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0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0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0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0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0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0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0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0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0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0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0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0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0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0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0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0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0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0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0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0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0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0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0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0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0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0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0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0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0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0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0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0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0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0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0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0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0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0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2007-04-02T11:55:06Z</dcterms:created>
  <dc:creator>maria</dc:creator>
</cp:coreProperties>
</file>